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1F1B9AA6-211C-4CF7-9CF1-B2EE7C160277}" xr6:coauthVersionLast="47" xr6:coauthVersionMax="47" xr10:uidLastSave="{00000000-0000-0000-0000-000000000000}"/>
  <bookViews>
    <workbookView xWindow="-110" yWindow="-110" windowWidth="19420" windowHeight="10300" xr2:uid="{F20D04BA-DD7F-409B-8F73-481714C95FB8}"/>
  </bookViews>
  <sheets>
    <sheet name="Producto" sheetId="1" r:id="rId1"/>
    <sheet name="Pedido" sheetId="2" r:id="rId2"/>
    <sheet name="Continente" sheetId="3" r:id="rId3"/>
    <sheet name="Pais" sheetId="4" r:id="rId4"/>
    <sheet name="Departamento" sheetId="5" r:id="rId5"/>
    <sheet name="Municipio" sheetId="6" r:id="rId6"/>
    <sheet name="Barrio" sheetId="7" r:id="rId7"/>
    <sheet name="Consultar" sheetId="11" r:id="rId8"/>
    <sheet name="Profesional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2" l="1"/>
  <c r="C3" i="12" s="1"/>
  <c r="D3" i="12"/>
  <c r="E3" i="12" s="1"/>
  <c r="N3" i="12"/>
  <c r="B4" i="12"/>
  <c r="C4" i="12"/>
  <c r="D4" i="12"/>
  <c r="E4" i="12" s="1"/>
  <c r="N4" i="12"/>
  <c r="B5" i="12"/>
  <c r="C5" i="12" s="1"/>
  <c r="D5" i="12"/>
  <c r="E5" i="12"/>
  <c r="F5" i="12"/>
  <c r="G5" i="12" s="1"/>
  <c r="N5" i="12"/>
  <c r="O2" i="12"/>
  <c r="N2" i="12"/>
  <c r="M2" i="12"/>
  <c r="L2" i="12"/>
  <c r="K2" i="12"/>
  <c r="J2" i="12"/>
  <c r="I2" i="12"/>
  <c r="H2" i="12"/>
  <c r="G2" i="12"/>
  <c r="F2" i="12"/>
  <c r="E2" i="12"/>
  <c r="D2" i="12"/>
  <c r="C2" i="12"/>
  <c r="B2" i="12"/>
  <c r="G3" i="11"/>
  <c r="J3" i="11" s="1"/>
  <c r="G4" i="11"/>
  <c r="J4" i="11" s="1"/>
  <c r="G5" i="11"/>
  <c r="J5" i="11" s="1"/>
  <c r="J2" i="11"/>
  <c r="B3" i="11"/>
  <c r="C3" i="11"/>
  <c r="D3" i="11"/>
  <c r="E3" i="11"/>
  <c r="F3" i="11"/>
  <c r="H3" i="11"/>
  <c r="I3" i="11"/>
  <c r="B4" i="11"/>
  <c r="C4" i="11"/>
  <c r="D4" i="11"/>
  <c r="E4" i="11"/>
  <c r="F4" i="11"/>
  <c r="H4" i="11"/>
  <c r="I4" i="11"/>
  <c r="B5" i="11"/>
  <c r="C5" i="11"/>
  <c r="D5" i="11"/>
  <c r="E5" i="11"/>
  <c r="F5" i="11"/>
  <c r="H5" i="11"/>
  <c r="I5" i="11"/>
  <c r="I2" i="11"/>
  <c r="G2" i="11"/>
  <c r="F2" i="11"/>
  <c r="H2" i="11"/>
  <c r="E2" i="11"/>
  <c r="D2" i="11"/>
  <c r="C2" i="11"/>
  <c r="B2" i="11"/>
  <c r="F3" i="12" l="1"/>
  <c r="H5" i="12"/>
  <c r="F4" i="12"/>
  <c r="G4" i="12" l="1"/>
  <c r="H4" i="12"/>
  <c r="J5" i="12"/>
  <c r="I5" i="12"/>
  <c r="G3" i="12"/>
  <c r="H3" i="12"/>
  <c r="J3" i="12" l="1"/>
  <c r="I3" i="12"/>
  <c r="L5" i="12"/>
  <c r="M5" i="12" s="1"/>
  <c r="K5" i="12"/>
  <c r="I4" i="12"/>
  <c r="J4" i="12"/>
  <c r="K4" i="12" l="1"/>
  <c r="O4" i="12" s="1"/>
  <c r="L4" i="12"/>
  <c r="M4" i="12" s="1"/>
  <c r="K3" i="12"/>
  <c r="L3" i="12"/>
  <c r="M3" i="12" s="1"/>
  <c r="O5" i="12"/>
  <c r="O3" i="12" l="1"/>
</calcChain>
</file>

<file path=xl/sharedStrings.xml><?xml version="1.0" encoding="utf-8"?>
<sst xmlns="http://schemas.openxmlformats.org/spreadsheetml/2006/main" count="164" uniqueCount="102">
  <si>
    <t>codigo</t>
  </si>
  <si>
    <t>nombre</t>
  </si>
  <si>
    <t>precio</t>
  </si>
  <si>
    <t>PR01</t>
  </si>
  <si>
    <t>Laptop X</t>
  </si>
  <si>
    <t>PR02</t>
  </si>
  <si>
    <t>Smartphone Z</t>
  </si>
  <si>
    <t>PR03</t>
  </si>
  <si>
    <t>Tablet Pro</t>
  </si>
  <si>
    <t>PR04</t>
  </si>
  <si>
    <t>Smartwatch Q</t>
  </si>
  <si>
    <t>producto_codigo</t>
  </si>
  <si>
    <t>barrio_id</t>
  </si>
  <si>
    <t>direccion</t>
  </si>
  <si>
    <t>ciudad_origen</t>
  </si>
  <si>
    <t>PED01</t>
  </si>
  <si>
    <t>B01</t>
  </si>
  <si>
    <t>Calle 50 #45-20</t>
  </si>
  <si>
    <t>Bogotá</t>
  </si>
  <si>
    <t>PED02</t>
  </si>
  <si>
    <t>B03</t>
  </si>
  <si>
    <t>Calle Alcalá 123</t>
  </si>
  <si>
    <t>Medellín</t>
  </si>
  <si>
    <t>PED03</t>
  </si>
  <si>
    <t>B02</t>
  </si>
  <si>
    <t>Carrera 15 #90-10</t>
  </si>
  <si>
    <t>Madrid</t>
  </si>
  <si>
    <t>PED04</t>
  </si>
  <si>
    <t>B04</t>
  </si>
  <si>
    <t>Avenida Central 45</t>
  </si>
  <si>
    <t>Tokio</t>
  </si>
  <si>
    <t>descripcion</t>
  </si>
  <si>
    <t>C01</t>
  </si>
  <si>
    <t>América</t>
  </si>
  <si>
    <t>Continente occidental</t>
  </si>
  <si>
    <t>C02</t>
  </si>
  <si>
    <t>Europa</t>
  </si>
  <si>
    <t>Continente europeo</t>
  </si>
  <si>
    <t>C03</t>
  </si>
  <si>
    <t>Asia</t>
  </si>
  <si>
    <t>Continente asiático</t>
  </si>
  <si>
    <t>C04</t>
  </si>
  <si>
    <t>África</t>
  </si>
  <si>
    <t>Continente africano</t>
  </si>
  <si>
    <t>continente_id</t>
  </si>
  <si>
    <t>P01</t>
  </si>
  <si>
    <t>Colombia</t>
  </si>
  <si>
    <t>País suramericano</t>
  </si>
  <si>
    <t>P02</t>
  </si>
  <si>
    <t>España</t>
  </si>
  <si>
    <t>País europeo</t>
  </si>
  <si>
    <t>P03</t>
  </si>
  <si>
    <t>Japón</t>
  </si>
  <si>
    <t>País asiático</t>
  </si>
  <si>
    <t>P04</t>
  </si>
  <si>
    <t>Marruecos</t>
  </si>
  <si>
    <t>País africano</t>
  </si>
  <si>
    <t>pais_id</t>
  </si>
  <si>
    <t>D01</t>
  </si>
  <si>
    <t>Cundinamarca</t>
  </si>
  <si>
    <t>Departamento colombiano</t>
  </si>
  <si>
    <t>D02</t>
  </si>
  <si>
    <t>Antioquia</t>
  </si>
  <si>
    <t>D03</t>
  </si>
  <si>
    <t>Comunidad autónoma</t>
  </si>
  <si>
    <t>D04</t>
  </si>
  <si>
    <t>Prefectura japonesa</t>
  </si>
  <si>
    <t>departamento_id</t>
  </si>
  <si>
    <t>M01</t>
  </si>
  <si>
    <t>Capital de Colombia</t>
  </si>
  <si>
    <t>M02</t>
  </si>
  <si>
    <t>Ciudad colombiana</t>
  </si>
  <si>
    <t>M03</t>
  </si>
  <si>
    <t>Capital de España</t>
  </si>
  <si>
    <t>M04</t>
  </si>
  <si>
    <t>Capital de Japón</t>
  </si>
  <si>
    <t>municipio_id</t>
  </si>
  <si>
    <t>Centro</t>
  </si>
  <si>
    <t>Zona central</t>
  </si>
  <si>
    <t>Chapinero</t>
  </si>
  <si>
    <t>Zona comercial</t>
  </si>
  <si>
    <t>Salamanca</t>
  </si>
  <si>
    <t>Barrio residencial</t>
  </si>
  <si>
    <t>Shinjuku</t>
  </si>
  <si>
    <t>Distrito especial</t>
  </si>
  <si>
    <t>Código Pedido</t>
  </si>
  <si>
    <t>Producto</t>
  </si>
  <si>
    <t>Barrio</t>
  </si>
  <si>
    <t>Municipio</t>
  </si>
  <si>
    <t>Departamento</t>
  </si>
  <si>
    <t>País</t>
  </si>
  <si>
    <t>Continente</t>
  </si>
  <si>
    <t>Resultado</t>
  </si>
  <si>
    <t>Ciudad_origen</t>
  </si>
  <si>
    <t>Producto_codigo</t>
  </si>
  <si>
    <t>Código_pedido</t>
  </si>
  <si>
    <t>Barrio_código</t>
  </si>
  <si>
    <t>Municipio_código</t>
  </si>
  <si>
    <t>Departamento_código</t>
  </si>
  <si>
    <t>País_código</t>
  </si>
  <si>
    <t>Continente_código</t>
  </si>
  <si>
    <t>Producto_código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</si>
</sst>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020C5-8BD3-45B9-888B-D9B5612550F3}">
  <dimension ref="A1:C5"/>
  <sheetViews>
    <sheetView tabSelected="1" workbookViewId="0">
      <selection activeCell="D8" sqref="D8"/>
    </sheetView>
  </sheetViews>
  <sheetFormatPr baseColWidth="10" defaultRowHeight="14.5" x14ac:dyDescent="0.35"/>
  <cols>
    <col min="1" max="1" width="13.36328125" customWidth="1"/>
    <col min="2" max="2" width="16.453125" customWidth="1"/>
    <col min="3" max="3" width="13.54296875" customWidth="1"/>
  </cols>
  <sheetData>
    <row r="1" spans="1:3" x14ac:dyDescent="0.35">
      <c r="A1" s="8" t="s">
        <v>0</v>
      </c>
      <c r="B1" s="8" t="s">
        <v>1</v>
      </c>
      <c r="C1" s="8" t="s">
        <v>2</v>
      </c>
    </row>
    <row r="2" spans="1:3" x14ac:dyDescent="0.35">
      <c r="A2" s="4" t="s">
        <v>3</v>
      </c>
      <c r="B2" s="4" t="s">
        <v>4</v>
      </c>
      <c r="C2" s="4">
        <v>3500000</v>
      </c>
    </row>
    <row r="3" spans="1:3" ht="29" x14ac:dyDescent="0.35">
      <c r="A3" s="4" t="s">
        <v>5</v>
      </c>
      <c r="B3" s="4" t="s">
        <v>6</v>
      </c>
      <c r="C3" s="4">
        <v>1800000</v>
      </c>
    </row>
    <row r="4" spans="1:3" x14ac:dyDescent="0.35">
      <c r="A4" s="4" t="s">
        <v>7</v>
      </c>
      <c r="B4" s="4" t="s">
        <v>8</v>
      </c>
      <c r="C4" s="4">
        <v>2200000</v>
      </c>
    </row>
    <row r="5" spans="1:3" ht="29" x14ac:dyDescent="0.35">
      <c r="A5" s="4" t="s">
        <v>9</v>
      </c>
      <c r="B5" s="4" t="s">
        <v>10</v>
      </c>
      <c r="C5" s="4">
        <v>950000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FEDF0-75A3-470B-81E3-3C1A74D0F392}">
  <dimension ref="A1:E5"/>
  <sheetViews>
    <sheetView workbookViewId="0">
      <selection sqref="A1:E5"/>
    </sheetView>
  </sheetViews>
  <sheetFormatPr baseColWidth="10" defaultRowHeight="14.5" x14ac:dyDescent="0.35"/>
  <cols>
    <col min="2" max="2" width="15.453125" customWidth="1"/>
    <col min="3" max="3" width="12.54296875" customWidth="1"/>
    <col min="4" max="4" width="13" customWidth="1"/>
    <col min="5" max="5" width="15.08984375" customWidth="1"/>
  </cols>
  <sheetData>
    <row r="1" spans="1:5" ht="29" x14ac:dyDescent="0.35">
      <c r="A1" s="8" t="s">
        <v>0</v>
      </c>
      <c r="B1" s="8" t="s">
        <v>11</v>
      </c>
      <c r="C1" s="8" t="s">
        <v>12</v>
      </c>
      <c r="D1" s="8" t="s">
        <v>13</v>
      </c>
      <c r="E1" s="8" t="s">
        <v>14</v>
      </c>
    </row>
    <row r="2" spans="1:5" ht="29" x14ac:dyDescent="0.35">
      <c r="A2" s="4" t="s">
        <v>15</v>
      </c>
      <c r="B2" s="4" t="s">
        <v>3</v>
      </c>
      <c r="C2" s="4" t="s">
        <v>16</v>
      </c>
      <c r="D2" s="4" t="s">
        <v>17</v>
      </c>
      <c r="E2" s="4" t="s">
        <v>18</v>
      </c>
    </row>
    <row r="3" spans="1:5" ht="29" x14ac:dyDescent="0.35">
      <c r="A3" s="4" t="s">
        <v>19</v>
      </c>
      <c r="B3" s="4" t="s">
        <v>5</v>
      </c>
      <c r="C3" s="4" t="s">
        <v>20</v>
      </c>
      <c r="D3" s="4" t="s">
        <v>21</v>
      </c>
      <c r="E3" s="4" t="s">
        <v>22</v>
      </c>
    </row>
    <row r="4" spans="1:5" ht="29" x14ac:dyDescent="0.35">
      <c r="A4" s="4" t="s">
        <v>23</v>
      </c>
      <c r="B4" s="4" t="s">
        <v>7</v>
      </c>
      <c r="C4" s="4" t="s">
        <v>24</v>
      </c>
      <c r="D4" s="4" t="s">
        <v>25</v>
      </c>
      <c r="E4" s="4" t="s">
        <v>26</v>
      </c>
    </row>
    <row r="5" spans="1:5" ht="29" x14ac:dyDescent="0.35">
      <c r="A5" s="4" t="s">
        <v>27</v>
      </c>
      <c r="B5" s="4" t="s">
        <v>9</v>
      </c>
      <c r="C5" s="4" t="s">
        <v>28</v>
      </c>
      <c r="D5" s="4" t="s">
        <v>29</v>
      </c>
      <c r="E5" s="4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7D758-1E6E-457B-B0FA-612F3DF2C4AE}">
  <dimension ref="A1:C5"/>
  <sheetViews>
    <sheetView workbookViewId="0">
      <selection sqref="A1:C5"/>
    </sheetView>
  </sheetViews>
  <sheetFormatPr baseColWidth="10" defaultRowHeight="14.5" x14ac:dyDescent="0.35"/>
  <cols>
    <col min="2" max="2" width="14.1796875" customWidth="1"/>
    <col min="3" max="3" width="18.90625" customWidth="1"/>
  </cols>
  <sheetData>
    <row r="1" spans="1:3" x14ac:dyDescent="0.35">
      <c r="A1" s="8" t="s">
        <v>0</v>
      </c>
      <c r="B1" s="8" t="s">
        <v>1</v>
      </c>
      <c r="C1" s="8" t="s">
        <v>31</v>
      </c>
    </row>
    <row r="2" spans="1:3" ht="29" x14ac:dyDescent="0.35">
      <c r="A2" s="4" t="s">
        <v>32</v>
      </c>
      <c r="B2" s="4" t="s">
        <v>33</v>
      </c>
      <c r="C2" s="4" t="s">
        <v>34</v>
      </c>
    </row>
    <row r="3" spans="1:3" ht="29" x14ac:dyDescent="0.35">
      <c r="A3" s="4" t="s">
        <v>35</v>
      </c>
      <c r="B3" s="4" t="s">
        <v>36</v>
      </c>
      <c r="C3" s="4" t="s">
        <v>37</v>
      </c>
    </row>
    <row r="4" spans="1:3" ht="29" x14ac:dyDescent="0.35">
      <c r="A4" s="4" t="s">
        <v>38</v>
      </c>
      <c r="B4" s="4" t="s">
        <v>39</v>
      </c>
      <c r="C4" s="4" t="s">
        <v>40</v>
      </c>
    </row>
    <row r="5" spans="1:3" ht="29" x14ac:dyDescent="0.35">
      <c r="A5" s="4" t="s">
        <v>41</v>
      </c>
      <c r="B5" s="4" t="s">
        <v>42</v>
      </c>
      <c r="C5" s="4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DC9D-937B-4640-8FC9-C25C0EB1AB64}">
  <dimension ref="A1:D5"/>
  <sheetViews>
    <sheetView workbookViewId="0">
      <selection sqref="A1:D5"/>
    </sheetView>
  </sheetViews>
  <sheetFormatPr baseColWidth="10" defaultRowHeight="14.5" x14ac:dyDescent="0.35"/>
  <cols>
    <col min="3" max="3" width="15.453125" customWidth="1"/>
    <col min="4" max="4" width="14.7265625" customWidth="1"/>
  </cols>
  <sheetData>
    <row r="1" spans="1:4" ht="29" x14ac:dyDescent="0.35">
      <c r="A1" s="8" t="s">
        <v>0</v>
      </c>
      <c r="B1" s="8" t="s">
        <v>1</v>
      </c>
      <c r="C1" s="8" t="s">
        <v>31</v>
      </c>
      <c r="D1" s="8" t="s">
        <v>44</v>
      </c>
    </row>
    <row r="2" spans="1:4" ht="43.5" x14ac:dyDescent="0.35">
      <c r="A2" s="4" t="s">
        <v>45</v>
      </c>
      <c r="B2" s="4" t="s">
        <v>46</v>
      </c>
      <c r="C2" s="4" t="s">
        <v>47</v>
      </c>
      <c r="D2" s="4" t="s">
        <v>32</v>
      </c>
    </row>
    <row r="3" spans="1:4" ht="29" x14ac:dyDescent="0.35">
      <c r="A3" s="4" t="s">
        <v>48</v>
      </c>
      <c r="B3" s="4" t="s">
        <v>49</v>
      </c>
      <c r="C3" s="4" t="s">
        <v>50</v>
      </c>
      <c r="D3" s="4" t="s">
        <v>35</v>
      </c>
    </row>
    <row r="4" spans="1:4" ht="29" x14ac:dyDescent="0.35">
      <c r="A4" s="4" t="s">
        <v>51</v>
      </c>
      <c r="B4" s="4" t="s">
        <v>52</v>
      </c>
      <c r="C4" s="4" t="s">
        <v>53</v>
      </c>
      <c r="D4" s="4" t="s">
        <v>38</v>
      </c>
    </row>
    <row r="5" spans="1:4" ht="29" x14ac:dyDescent="0.35">
      <c r="A5" s="4" t="s">
        <v>54</v>
      </c>
      <c r="B5" s="4" t="s">
        <v>55</v>
      </c>
      <c r="C5" s="4" t="s">
        <v>56</v>
      </c>
      <c r="D5" s="4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0D1D-154A-4EAF-ADCB-623D23B30622}">
  <dimension ref="A1:D5"/>
  <sheetViews>
    <sheetView workbookViewId="0">
      <selection sqref="A1:D5"/>
    </sheetView>
  </sheetViews>
  <sheetFormatPr baseColWidth="10" defaultRowHeight="14.5" x14ac:dyDescent="0.35"/>
  <cols>
    <col min="2" max="2" width="13.54296875" customWidth="1"/>
    <col min="3" max="3" width="16" customWidth="1"/>
  </cols>
  <sheetData>
    <row r="1" spans="1:4" x14ac:dyDescent="0.35">
      <c r="A1" s="8" t="s">
        <v>0</v>
      </c>
      <c r="B1" s="8" t="s">
        <v>1</v>
      </c>
      <c r="C1" s="8" t="s">
        <v>31</v>
      </c>
      <c r="D1" s="8" t="s">
        <v>57</v>
      </c>
    </row>
    <row r="2" spans="1:4" ht="43.5" x14ac:dyDescent="0.35">
      <c r="A2" s="4" t="s">
        <v>58</v>
      </c>
      <c r="B2" s="4" t="s">
        <v>59</v>
      </c>
      <c r="C2" s="4" t="s">
        <v>60</v>
      </c>
      <c r="D2" s="4" t="s">
        <v>45</v>
      </c>
    </row>
    <row r="3" spans="1:4" ht="43.5" x14ac:dyDescent="0.35">
      <c r="A3" s="4" t="s">
        <v>61</v>
      </c>
      <c r="B3" s="4" t="s">
        <v>62</v>
      </c>
      <c r="C3" s="4" t="s">
        <v>60</v>
      </c>
      <c r="D3" s="4" t="s">
        <v>45</v>
      </c>
    </row>
    <row r="4" spans="1:4" ht="29" x14ac:dyDescent="0.35">
      <c r="A4" s="4" t="s">
        <v>63</v>
      </c>
      <c r="B4" s="4" t="s">
        <v>26</v>
      </c>
      <c r="C4" s="4" t="s">
        <v>64</v>
      </c>
      <c r="D4" s="4" t="s">
        <v>48</v>
      </c>
    </row>
    <row r="5" spans="1:4" ht="29" x14ac:dyDescent="0.35">
      <c r="A5" s="4" t="s">
        <v>65</v>
      </c>
      <c r="B5" s="4" t="s">
        <v>30</v>
      </c>
      <c r="C5" s="4" t="s">
        <v>66</v>
      </c>
      <c r="D5" s="4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0786F-5814-464F-B4AE-7A2DE253360D}">
  <dimension ref="A1:D5"/>
  <sheetViews>
    <sheetView workbookViewId="0">
      <selection sqref="A1:D5"/>
    </sheetView>
  </sheetViews>
  <sheetFormatPr baseColWidth="10" defaultRowHeight="14.5" x14ac:dyDescent="0.35"/>
  <cols>
    <col min="3" max="3" width="13.36328125" customWidth="1"/>
    <col min="4" max="4" width="15.26953125" customWidth="1"/>
  </cols>
  <sheetData>
    <row r="1" spans="1:4" ht="29" x14ac:dyDescent="0.35">
      <c r="A1" s="8" t="s">
        <v>0</v>
      </c>
      <c r="B1" s="8" t="s">
        <v>1</v>
      </c>
      <c r="C1" s="8" t="s">
        <v>31</v>
      </c>
      <c r="D1" s="8" t="s">
        <v>67</v>
      </c>
    </row>
    <row r="2" spans="1:4" ht="29" x14ac:dyDescent="0.35">
      <c r="A2" s="4" t="s">
        <v>68</v>
      </c>
      <c r="B2" s="4" t="s">
        <v>18</v>
      </c>
      <c r="C2" s="4" t="s">
        <v>69</v>
      </c>
      <c r="D2" s="4" t="s">
        <v>58</v>
      </c>
    </row>
    <row r="3" spans="1:4" ht="29" x14ac:dyDescent="0.35">
      <c r="A3" s="4" t="s">
        <v>70</v>
      </c>
      <c r="B3" s="4" t="s">
        <v>22</v>
      </c>
      <c r="C3" s="4" t="s">
        <v>71</v>
      </c>
      <c r="D3" s="4" t="s">
        <v>61</v>
      </c>
    </row>
    <row r="4" spans="1:4" ht="29" x14ac:dyDescent="0.35">
      <c r="A4" s="4" t="s">
        <v>72</v>
      </c>
      <c r="B4" s="4" t="s">
        <v>26</v>
      </c>
      <c r="C4" s="4" t="s">
        <v>73</v>
      </c>
      <c r="D4" s="4" t="s">
        <v>63</v>
      </c>
    </row>
    <row r="5" spans="1:4" ht="29" x14ac:dyDescent="0.35">
      <c r="A5" s="4" t="s">
        <v>74</v>
      </c>
      <c r="B5" s="4" t="s">
        <v>30</v>
      </c>
      <c r="C5" s="4" t="s">
        <v>75</v>
      </c>
      <c r="D5" s="4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5B3D9-0037-4BCD-B2E5-5DFE9393AE5C}">
  <dimension ref="A1:D5"/>
  <sheetViews>
    <sheetView topLeftCell="B1" workbookViewId="0">
      <selection activeCell="B1" sqref="B1:D5"/>
    </sheetView>
  </sheetViews>
  <sheetFormatPr baseColWidth="10" defaultRowHeight="14.5" x14ac:dyDescent="0.35"/>
  <cols>
    <col min="3" max="3" width="12.26953125" customWidth="1"/>
    <col min="4" max="4" width="14.36328125" customWidth="1"/>
  </cols>
  <sheetData>
    <row r="1" spans="1:4" ht="29" x14ac:dyDescent="0.35">
      <c r="A1" s="1" t="s">
        <v>0</v>
      </c>
      <c r="B1" s="8" t="s">
        <v>1</v>
      </c>
      <c r="C1" s="8" t="s">
        <v>31</v>
      </c>
      <c r="D1" s="8" t="s">
        <v>76</v>
      </c>
    </row>
    <row r="2" spans="1:4" x14ac:dyDescent="0.35">
      <c r="A2" s="2" t="s">
        <v>16</v>
      </c>
      <c r="B2" s="4" t="s">
        <v>77</v>
      </c>
      <c r="C2" s="4" t="s">
        <v>78</v>
      </c>
      <c r="D2" s="4" t="s">
        <v>70</v>
      </c>
    </row>
    <row r="3" spans="1:4" ht="29" x14ac:dyDescent="0.35">
      <c r="A3" s="2" t="s">
        <v>24</v>
      </c>
      <c r="B3" s="4" t="s">
        <v>79</v>
      </c>
      <c r="C3" s="4" t="s">
        <v>80</v>
      </c>
      <c r="D3" s="4" t="s">
        <v>68</v>
      </c>
    </row>
    <row r="4" spans="1:4" ht="29" x14ac:dyDescent="0.35">
      <c r="A4" s="2" t="s">
        <v>20</v>
      </c>
      <c r="B4" s="4" t="s">
        <v>81</v>
      </c>
      <c r="C4" s="4" t="s">
        <v>82</v>
      </c>
      <c r="D4" s="4" t="s">
        <v>72</v>
      </c>
    </row>
    <row r="5" spans="1:4" ht="29" x14ac:dyDescent="0.35">
      <c r="A5" s="2" t="s">
        <v>28</v>
      </c>
      <c r="B5" s="4" t="s">
        <v>83</v>
      </c>
      <c r="C5" s="4" t="s">
        <v>84</v>
      </c>
      <c r="D5" s="4" t="s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C51B-A790-4EC5-87C5-75DB4B858DA6}">
  <dimension ref="A1:J9"/>
  <sheetViews>
    <sheetView zoomScale="96" workbookViewId="0">
      <selection activeCell="F8" sqref="F8"/>
    </sheetView>
  </sheetViews>
  <sheetFormatPr baseColWidth="10" defaultRowHeight="14.5" x14ac:dyDescent="0.35"/>
  <cols>
    <col min="2" max="2" width="14.26953125" customWidth="1"/>
    <col min="6" max="6" width="13.7265625" customWidth="1"/>
    <col min="9" max="9" width="13.26953125" customWidth="1"/>
    <col min="10" max="10" width="84.81640625" customWidth="1"/>
  </cols>
  <sheetData>
    <row r="1" spans="1:10" ht="25" customHeight="1" x14ac:dyDescent="0.35">
      <c r="A1" s="5" t="s">
        <v>85</v>
      </c>
      <c r="B1" s="5" t="s">
        <v>94</v>
      </c>
      <c r="C1" s="5" t="s">
        <v>86</v>
      </c>
      <c r="D1" s="5" t="s">
        <v>87</v>
      </c>
      <c r="E1" s="5" t="s">
        <v>88</v>
      </c>
      <c r="F1" s="5" t="s">
        <v>89</v>
      </c>
      <c r="G1" s="5" t="s">
        <v>90</v>
      </c>
      <c r="H1" s="5" t="s">
        <v>91</v>
      </c>
      <c r="I1" s="5" t="s">
        <v>93</v>
      </c>
      <c r="J1" s="5" t="s">
        <v>92</v>
      </c>
    </row>
    <row r="2" spans="1:10" ht="25" customHeight="1" x14ac:dyDescent="0.35">
      <c r="A2" s="5" t="s">
        <v>15</v>
      </c>
      <c r="B2" s="5" t="str">
        <f>_xlfn.XLOOKUP(A2,Pedido!A:A,Pedido!B:B)</f>
        <v>PR01</v>
      </c>
      <c r="C2" s="5" t="str">
        <f>_xlfn.XLOOKUP(
   _xlfn.XLOOKUP(A2,Pedido!A:A,Pedido!B:B),
   Producto!A:A,
   Producto!B:B
)</f>
        <v>Laptop X</v>
      </c>
      <c r="D2" s="6" t="str">
        <f>_xlfn.XLOOKUP(
   _xlfn.XLOOKUP(A2,Pedido!A:A,Pedido!C:C),
   Barrio!A:A,
   Barrio!B:B
)</f>
        <v>Centro</v>
      </c>
      <c r="E2" s="6" t="str">
        <f>_xlfn.XLOOKUP(
   _xlfn.XLOOKUP(
      _xlfn.XLOOKUP(A2,Pedido!A:A,Pedido!C:C),
      Barrio!A:A,
      Barrio!D:D
   ),
   Municipio!A:A,
   Municipio!B:B
)</f>
        <v>Medellín</v>
      </c>
      <c r="F2" s="6" t="str">
        <f>_xlfn.XLOOKUP(
   _xlfn.XLOOKUP(
      _xlfn.XLOOKUP(
         _xlfn.XLOOKUP(A2,Pedido!A:A,Pedido!C:C),
         Barrio!A:A,
         Barrio!D:D
      ),
      Municipio!A:A,
      Municipio!D:D
   ),
   Departamento!A:A,
   Departamento!B:B
)</f>
        <v>Antioquia</v>
      </c>
      <c r="G2" s="6" t="str">
        <f>_xlfn.XLOOKUP(
   _xlfn.XLOOKUP(
      _xlfn.XLOOKUP(
         _xlfn.XLOOKUP(
            _xlfn.XLOOKUP(A2,Pedido!A:A,Pedido!C:C),
            Barrio!A:A,
            Barrio!D:D
         ),
         Municipio!A:A,
         Municipio!D:D
      ),
      Departamento!A:A,
      Departamento!D:D
   ),
   Pais!A:A,
   Pais!B:B
)</f>
        <v>Colombia</v>
      </c>
      <c r="H2" s="6" t="str">
        <f>_xlfn.XLOOKUP(
   _xlfn.XLOOKUP(
      _xlfn.XLOOKUP(
         _xlfn.XLOOKUP(
            _xlfn.XLOOKUP(
               _xlfn.XLOOKUP(A2,Pedido!A:A,Pedido!C:C),
               Barrio!A:A,
               Barrio!D:D
            ),
            Municipio!A:A,
            Municipio!D:D
         ),
         Departamento!A:A,
         Departamento!D:D
      ),
      Pais!A:A,
      Pais!D:D
   ),
   Continente!A:A,
   Continente!B:B
)</f>
        <v>América</v>
      </c>
      <c r="I2" s="6" t="str">
        <f>_xlfn.XLOOKUP(A2,Pedido!A:A,Pedido!E:E)</f>
        <v>Bogotá</v>
      </c>
      <c r="J2" s="6" t="str">
        <f>"El producto " &amp; B2 &amp;" fue enviado desde " &amp; H2 &amp;" hacia el barrio "&amp; C2 &amp;", en " &amp; D2 &amp;
" (" &amp; F2 &amp; ", " &amp; G2 &amp; ")."</f>
        <v>El producto PR01 fue enviado desde América hacia el barrio Laptop X, en Centro (Antioquia, Colombia).</v>
      </c>
    </row>
    <row r="3" spans="1:10" ht="25" customHeight="1" x14ac:dyDescent="0.35">
      <c r="A3" s="5" t="s">
        <v>19</v>
      </c>
      <c r="B3" s="5" t="str">
        <f>_xlfn.XLOOKUP(A3,Pedido!A:A,Pedido!B:B)</f>
        <v>PR02</v>
      </c>
      <c r="C3" s="5" t="str">
        <f>_xlfn.XLOOKUP(
   _xlfn.XLOOKUP(A3,Pedido!A:A,Pedido!B:B),
   Producto!A:A,
   Producto!B:B
)</f>
        <v>Smartphone Z</v>
      </c>
      <c r="D3" s="6" t="str">
        <f>_xlfn.XLOOKUP(
   _xlfn.XLOOKUP(A3,Pedido!A:A,Pedido!C:C),
   Barrio!A:A,
   Barrio!B:B
)</f>
        <v>Salamanca</v>
      </c>
      <c r="E3" s="6" t="str">
        <f>_xlfn.XLOOKUP(
   _xlfn.XLOOKUP(
      _xlfn.XLOOKUP(A3,Pedido!A:A,Pedido!C:C),
      Barrio!A:A,
      Barrio!D:D
   ),
   Municipio!A:A,
   Municipio!B:B
)</f>
        <v>Madrid</v>
      </c>
      <c r="F3" s="6" t="str">
        <f>_xlfn.XLOOKUP(
   _xlfn.XLOOKUP(
      _xlfn.XLOOKUP(
         _xlfn.XLOOKUP(A3,Pedido!A:A,Pedido!C:C),
         Barrio!A:A,
         Barrio!D:D
      ),
      Municipio!A:A,
      Municipio!D:D
   ),
   Departamento!A:A,
   Departamento!B:B
)</f>
        <v>Madrid</v>
      </c>
      <c r="G3" s="6" t="str">
        <f>_xlfn.XLOOKUP(
   _xlfn.XLOOKUP(
      _xlfn.XLOOKUP(
         _xlfn.XLOOKUP(
            _xlfn.XLOOKUP(A3,Pedido!A:A,Pedido!C:C),
            Barrio!A:A,
            Barrio!D:D
         ),
         Municipio!A:A,
         Municipio!D:D
      ),
      Departamento!A:A,
      Departamento!D:D
   ),
   Pais!A:A,
   Pais!B:B
)</f>
        <v>España</v>
      </c>
      <c r="H3" s="6" t="str">
        <f>_xlfn.XLOOKUP(
   _xlfn.XLOOKUP(
      _xlfn.XLOOKUP(
         _xlfn.XLOOKUP(
            _xlfn.XLOOKUP(
               _xlfn.XLOOKUP(A3,Pedido!A:A,Pedido!C:C),
               Barrio!A:A,
               Barrio!D:D
            ),
            Municipio!A:A,
            Municipio!D:D
         ),
         Departamento!A:A,
         Departamento!D:D
      ),
      Pais!A:A,
      Pais!D:D
   ),
   Continente!A:A,
   Continente!B:B
)</f>
        <v>Europa</v>
      </c>
      <c r="I3" s="6" t="str">
        <f>_xlfn.XLOOKUP(A3,Pedido!A:A,Pedido!E:E)</f>
        <v>Medellín</v>
      </c>
      <c r="J3" s="6" t="str">
        <f t="shared" ref="J3:J5" si="0">"El producto " &amp; B3 &amp;" fue enviado desde " &amp; H3 &amp;" hacia el barrio "&amp; C3 &amp;", en " &amp; D3 &amp;
" (" &amp; F3 &amp; ", " &amp; G3 &amp; ")."</f>
        <v>El producto PR02 fue enviado desde Europa hacia el barrio Smartphone Z, en Salamanca (Madrid, España).</v>
      </c>
    </row>
    <row r="4" spans="1:10" ht="25" customHeight="1" x14ac:dyDescent="0.35">
      <c r="A4" s="5" t="s">
        <v>23</v>
      </c>
      <c r="B4" s="5" t="str">
        <f>_xlfn.XLOOKUP(A4,Pedido!A:A,Pedido!B:B)</f>
        <v>PR03</v>
      </c>
      <c r="C4" s="5" t="str">
        <f>_xlfn.XLOOKUP(
   _xlfn.XLOOKUP(A4,Pedido!A:A,Pedido!B:B),
   Producto!A:A,
   Producto!B:B
)</f>
        <v>Tablet Pro</v>
      </c>
      <c r="D4" s="6" t="str">
        <f>_xlfn.XLOOKUP(
   _xlfn.XLOOKUP(A4,Pedido!A:A,Pedido!C:C),
   Barrio!A:A,
   Barrio!B:B
)</f>
        <v>Chapinero</v>
      </c>
      <c r="E4" s="6" t="str">
        <f>_xlfn.XLOOKUP(
   _xlfn.XLOOKUP(
      _xlfn.XLOOKUP(A4,Pedido!A:A,Pedido!C:C),
      Barrio!A:A,
      Barrio!D:D
   ),
   Municipio!A:A,
   Municipio!B:B
)</f>
        <v>Bogotá</v>
      </c>
      <c r="F4" s="6" t="str">
        <f>_xlfn.XLOOKUP(
   _xlfn.XLOOKUP(
      _xlfn.XLOOKUP(
         _xlfn.XLOOKUP(A4,Pedido!A:A,Pedido!C:C),
         Barrio!A:A,
         Barrio!D:D
      ),
      Municipio!A:A,
      Municipio!D:D
   ),
   Departamento!A:A,
   Departamento!B:B
)</f>
        <v>Cundinamarca</v>
      </c>
      <c r="G4" s="6" t="str">
        <f>_xlfn.XLOOKUP(
   _xlfn.XLOOKUP(
      _xlfn.XLOOKUP(
         _xlfn.XLOOKUP(
            _xlfn.XLOOKUP(A4,Pedido!A:A,Pedido!C:C),
            Barrio!A:A,
            Barrio!D:D
         ),
         Municipio!A:A,
         Municipio!D:D
      ),
      Departamento!A:A,
      Departamento!D:D
   ),
   Pais!A:A,
   Pais!B:B
)</f>
        <v>Colombia</v>
      </c>
      <c r="H4" s="6" t="str">
        <f>_xlfn.XLOOKUP(
   _xlfn.XLOOKUP(
      _xlfn.XLOOKUP(
         _xlfn.XLOOKUP(
            _xlfn.XLOOKUP(
               _xlfn.XLOOKUP(A4,Pedido!A:A,Pedido!C:C),
               Barrio!A:A,
               Barrio!D:D
            ),
            Municipio!A:A,
            Municipio!D:D
         ),
         Departamento!A:A,
         Departamento!D:D
      ),
      Pais!A:A,
      Pais!D:D
   ),
   Continente!A:A,
   Continente!B:B
)</f>
        <v>América</v>
      </c>
      <c r="I4" s="6" t="str">
        <f>_xlfn.XLOOKUP(A4,Pedido!A:A,Pedido!E:E)</f>
        <v>Madrid</v>
      </c>
      <c r="J4" s="6" t="str">
        <f t="shared" si="0"/>
        <v>El producto PR03 fue enviado desde América hacia el barrio Tablet Pro, en Chapinero (Cundinamarca, Colombia).</v>
      </c>
    </row>
    <row r="5" spans="1:10" ht="25" customHeight="1" x14ac:dyDescent="0.35">
      <c r="A5" s="5" t="s">
        <v>27</v>
      </c>
      <c r="B5" s="5" t="str">
        <f>_xlfn.XLOOKUP(A5,Pedido!A:A,Pedido!B:B)</f>
        <v>PR04</v>
      </c>
      <c r="C5" s="5" t="str">
        <f>_xlfn.XLOOKUP(
   _xlfn.XLOOKUP(A5,Pedido!A:A,Pedido!B:B),
   Producto!A:A,
   Producto!B:B
)</f>
        <v>Smartwatch Q</v>
      </c>
      <c r="D5" s="6" t="str">
        <f>_xlfn.XLOOKUP(
   _xlfn.XLOOKUP(A5,Pedido!A:A,Pedido!C:C),
   Barrio!A:A,
   Barrio!B:B
)</f>
        <v>Shinjuku</v>
      </c>
      <c r="E5" s="6" t="str">
        <f>_xlfn.XLOOKUP(
   _xlfn.XLOOKUP(
      _xlfn.XLOOKUP(A5,Pedido!A:A,Pedido!C:C),
      Barrio!A:A,
      Barrio!D:D
   ),
   Municipio!A:A,
   Municipio!B:B
)</f>
        <v>Tokio</v>
      </c>
      <c r="F5" s="6" t="str">
        <f>_xlfn.XLOOKUP(
   _xlfn.XLOOKUP(
      _xlfn.XLOOKUP(
         _xlfn.XLOOKUP(A5,Pedido!A:A,Pedido!C:C),
         Barrio!A:A,
         Barrio!D:D
      ),
      Municipio!A:A,
      Municipio!D:D
   ),
   Departamento!A:A,
   Departamento!B:B
)</f>
        <v>Tokio</v>
      </c>
      <c r="G5" s="6" t="str">
        <f>_xlfn.XLOOKUP(
   _xlfn.XLOOKUP(
      _xlfn.XLOOKUP(
         _xlfn.XLOOKUP(
            _xlfn.XLOOKUP(A5,Pedido!A:A,Pedido!C:C),
            Barrio!A:A,
            Barrio!D:D
         ),
         Municipio!A:A,
         Municipio!D:D
      ),
      Departamento!A:A,
      Departamento!D:D
   ),
   Pais!A:A,
   Pais!B:B
)</f>
        <v>Japón</v>
      </c>
      <c r="H5" s="6" t="str">
        <f>_xlfn.XLOOKUP(
   _xlfn.XLOOKUP(
      _xlfn.XLOOKUP(
         _xlfn.XLOOKUP(
            _xlfn.XLOOKUP(
               _xlfn.XLOOKUP(A5,Pedido!A:A,Pedido!C:C),
               Barrio!A:A,
               Barrio!D:D
            ),
            Municipio!A:A,
            Municipio!D:D
         ),
         Departamento!A:A,
         Departamento!D:D
      ),
      Pais!A:A,
      Pais!D:D
   ),
   Continente!A:A,
   Continente!B:B
)</f>
        <v>Asia</v>
      </c>
      <c r="I5" s="6" t="str">
        <f>_xlfn.XLOOKUP(A5,Pedido!A:A,Pedido!E:E)</f>
        <v>Tokio</v>
      </c>
      <c r="J5" s="6" t="str">
        <f>"El producto " &amp; B5 &amp;" fue enviado desde " &amp; H5 &amp;" hacia el barrio "&amp; C5 &amp;", en " &amp; D5 &amp;
" (" &amp; F5 &amp; ", " &amp; G5 &amp; ")."</f>
        <v>El producto PR04 fue enviado desde Asia hacia el barrio Smartwatch Q, en Shinjuku (Tokio, Japón).</v>
      </c>
    </row>
    <row r="6" spans="1:10" x14ac:dyDescent="0.35">
      <c r="A6" s="2"/>
      <c r="B6" s="2"/>
      <c r="C6" s="2"/>
    </row>
    <row r="7" spans="1:10" x14ac:dyDescent="0.35">
      <c r="A7" s="2"/>
      <c r="B7" s="2"/>
      <c r="C7" s="2"/>
    </row>
    <row r="8" spans="1:10" x14ac:dyDescent="0.35">
      <c r="A8" s="2"/>
      <c r="B8" s="2"/>
      <c r="C8" s="2"/>
    </row>
    <row r="9" spans="1:10" x14ac:dyDescent="0.35">
      <c r="A9" s="2"/>
      <c r="B9" s="2"/>
      <c r="C9" s="2"/>
      <c r="F9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9C4A1-C559-4AE7-8567-5A06021005BC}">
  <dimension ref="A1:O5"/>
  <sheetViews>
    <sheetView zoomScale="88" zoomScaleNormal="190" workbookViewId="0">
      <selection activeCell="I5" sqref="I5"/>
    </sheetView>
  </sheetViews>
  <sheetFormatPr baseColWidth="10" defaultRowHeight="14.5" x14ac:dyDescent="0.35"/>
  <cols>
    <col min="1" max="1" width="25.6328125" customWidth="1"/>
    <col min="2" max="2" width="25.6328125" hidden="1" customWidth="1"/>
    <col min="3" max="3" width="25.6328125" customWidth="1"/>
    <col min="4" max="4" width="25.6328125" hidden="1" customWidth="1"/>
    <col min="5" max="5" width="25.6328125" customWidth="1"/>
    <col min="6" max="6" width="25.6328125" hidden="1" customWidth="1"/>
    <col min="7" max="7" width="25.6328125" customWidth="1"/>
    <col min="8" max="8" width="25.6328125" hidden="1" customWidth="1"/>
    <col min="9" max="9" width="25.6328125" customWidth="1"/>
    <col min="10" max="10" width="25.6328125" hidden="1" customWidth="1"/>
    <col min="11" max="11" width="25.6328125" customWidth="1"/>
    <col min="12" max="12" width="25.6328125" hidden="1" customWidth="1"/>
    <col min="13" max="14" width="25.6328125" customWidth="1"/>
    <col min="15" max="15" width="89.1796875" customWidth="1"/>
  </cols>
  <sheetData>
    <row r="1" spans="1:15" ht="25" customHeight="1" x14ac:dyDescent="0.35">
      <c r="A1" s="3" t="s">
        <v>95</v>
      </c>
      <c r="B1" s="3" t="s">
        <v>101</v>
      </c>
      <c r="C1" s="3" t="s">
        <v>86</v>
      </c>
      <c r="D1" s="3" t="s">
        <v>96</v>
      </c>
      <c r="E1" s="3" t="s">
        <v>87</v>
      </c>
      <c r="F1" s="3" t="s">
        <v>97</v>
      </c>
      <c r="G1" s="3" t="s">
        <v>88</v>
      </c>
      <c r="H1" s="3" t="s">
        <v>98</v>
      </c>
      <c r="I1" s="3" t="s">
        <v>89</v>
      </c>
      <c r="J1" s="3" t="s">
        <v>99</v>
      </c>
      <c r="K1" s="3" t="s">
        <v>90</v>
      </c>
      <c r="L1" s="3" t="s">
        <v>100</v>
      </c>
      <c r="M1" s="3" t="s">
        <v>91</v>
      </c>
      <c r="N1" s="3" t="s">
        <v>93</v>
      </c>
      <c r="O1" s="3" t="s">
        <v>92</v>
      </c>
    </row>
    <row r="2" spans="1:15" ht="25" customHeight="1" x14ac:dyDescent="0.35">
      <c r="A2" s="3" t="s">
        <v>15</v>
      </c>
      <c r="B2" s="3" t="str">
        <f>_xlfn.XLOOKUP(A2,Pedido!A:A,Pedido!B:B)</f>
        <v>PR01</v>
      </c>
      <c r="C2" s="3" t="str">
        <f>_xlfn.XLOOKUP(B2,Producto!A:A,Producto!B:B)</f>
        <v>Laptop X</v>
      </c>
      <c r="D2" s="3" t="str">
        <f>_xlfn.XLOOKUP(A2,Pedido!A:A,Pedido!C:C)</f>
        <v>B01</v>
      </c>
      <c r="E2" s="3" t="str">
        <f>_xlfn.XLOOKUP(D2,Barrio!A:A,Barrio!B:B)</f>
        <v>Centro</v>
      </c>
      <c r="F2" s="3" t="str">
        <f>_xlfn.XLOOKUP(D2,Barrio!A:A,Barrio!D:D)</f>
        <v>M02</v>
      </c>
      <c r="G2" s="3" t="str">
        <f>_xlfn.XLOOKUP(F2,Municipio!A:A,Municipio!B:B)</f>
        <v>Medellín</v>
      </c>
      <c r="H2" s="3" t="str">
        <f>_xlfn.XLOOKUP(F2,Municipio!A:A,Municipio!D:D)</f>
        <v>D02</v>
      </c>
      <c r="I2" s="3" t="str">
        <f>_xlfn.XLOOKUP(H2,Departamento!A:A,Departamento!B:B)</f>
        <v>Antioquia</v>
      </c>
      <c r="J2" s="3" t="str">
        <f>_xlfn.XLOOKUP(H2,Departamento!A:A,Departamento!D:D)</f>
        <v>P01</v>
      </c>
      <c r="K2" s="3" t="str">
        <f>_xlfn.XLOOKUP(J2,Pais!A:A,Pais!B:B)</f>
        <v>Colombia</v>
      </c>
      <c r="L2" s="3" t="str">
        <f>_xlfn.XLOOKUP(J2,Pais!A:A,Pais!D:D)</f>
        <v>C01</v>
      </c>
      <c r="M2" s="3" t="str">
        <f>_xlfn.XLOOKUP(L2,Continente!A:A,Continente!B:B)</f>
        <v>América</v>
      </c>
      <c r="N2" s="3" t="str">
        <f>_xlfn.XLOOKUP(A2,Pedido!A:A,Pedido!E:E)</f>
        <v>Bogotá</v>
      </c>
      <c r="O2" s="3" t="str">
        <f>"El producto " &amp; C2 &amp;" fue enviado desde " &amp; N2 &amp;" hacia el barrio " &amp; E2 &amp;", en " &amp; G2 &amp;" (" &amp; K2 &amp; ", " &amp; M2 &amp; ")."</f>
        <v>El producto Laptop X fue enviado desde Bogotá hacia el barrio Centro, en Medellín (Colombia, América).</v>
      </c>
    </row>
    <row r="3" spans="1:15" ht="25" customHeight="1" x14ac:dyDescent="0.35">
      <c r="A3" s="3" t="s">
        <v>19</v>
      </c>
      <c r="B3" s="3" t="str">
        <f>_xlfn.XLOOKUP(A3,Pedido!A:A,Pedido!B:B)</f>
        <v>PR02</v>
      </c>
      <c r="C3" s="3" t="str">
        <f>_xlfn.XLOOKUP(B3,Producto!A:A,Producto!B:B)</f>
        <v>Smartphone Z</v>
      </c>
      <c r="D3" s="3" t="str">
        <f>_xlfn.XLOOKUP(A3,Pedido!A:A,Pedido!C:C)</f>
        <v>B03</v>
      </c>
      <c r="E3" s="3" t="str">
        <f>_xlfn.XLOOKUP(D3,Barrio!A:A,Barrio!B:B)</f>
        <v>Salamanca</v>
      </c>
      <c r="F3" s="3" t="str">
        <f>_xlfn.XLOOKUP(D3,Barrio!A:A,Barrio!D:D)</f>
        <v>M03</v>
      </c>
      <c r="G3" s="3" t="str">
        <f>_xlfn.XLOOKUP(F3,Municipio!A:A,Municipio!B:B)</f>
        <v>Madrid</v>
      </c>
      <c r="H3" s="3" t="str">
        <f>_xlfn.XLOOKUP(F3,Municipio!A:A,Municipio!D:D)</f>
        <v>D03</v>
      </c>
      <c r="I3" s="3" t="str">
        <f>_xlfn.XLOOKUP(H3,Departamento!A:A,Departamento!B:B)</f>
        <v>Madrid</v>
      </c>
      <c r="J3" s="3" t="str">
        <f>_xlfn.XLOOKUP(H3,Departamento!A:A,Departamento!D:D)</f>
        <v>P02</v>
      </c>
      <c r="K3" s="3" t="str">
        <f>_xlfn.XLOOKUP(J3,Pais!A:A,Pais!B:B)</f>
        <v>España</v>
      </c>
      <c r="L3" s="3" t="str">
        <f>_xlfn.XLOOKUP(J3,Pais!A:A,Pais!D:D)</f>
        <v>C02</v>
      </c>
      <c r="M3" s="3" t="str">
        <f>_xlfn.XLOOKUP(L3,Continente!A:A,Continente!B:B)</f>
        <v>Europa</v>
      </c>
      <c r="N3" s="3" t="str">
        <f>_xlfn.XLOOKUP(A3,Pedido!A:A,Pedido!E:E)</f>
        <v>Medellín</v>
      </c>
      <c r="O3" s="3" t="str">
        <f t="shared" ref="O3:O5" si="0">"El producto " &amp; C3 &amp;" fue enviado desde " &amp; N3 &amp;" hacia el barrio " &amp; E3 &amp;", en " &amp; G3 &amp;" (" &amp; K3 &amp; ", " &amp; M3 &amp; ")."</f>
        <v>El producto Smartphone Z fue enviado desde Medellín hacia el barrio Salamanca, en Madrid (España, Europa).</v>
      </c>
    </row>
    <row r="4" spans="1:15" ht="25" customHeight="1" x14ac:dyDescent="0.35">
      <c r="A4" s="3" t="s">
        <v>23</v>
      </c>
      <c r="B4" s="3" t="str">
        <f>_xlfn.XLOOKUP(A4,Pedido!A:A,Pedido!B:B)</f>
        <v>PR03</v>
      </c>
      <c r="C4" s="3" t="str">
        <f>_xlfn.XLOOKUP(B4,Producto!A:A,Producto!B:B)</f>
        <v>Tablet Pro</v>
      </c>
      <c r="D4" s="3" t="str">
        <f>_xlfn.XLOOKUP(A4,Pedido!A:A,Pedido!C:C)</f>
        <v>B02</v>
      </c>
      <c r="E4" s="3" t="str">
        <f>_xlfn.XLOOKUP(D4,Barrio!A:A,Barrio!B:B)</f>
        <v>Chapinero</v>
      </c>
      <c r="F4" s="3" t="str">
        <f>_xlfn.XLOOKUP(D4,Barrio!A:A,Barrio!D:D)</f>
        <v>M01</v>
      </c>
      <c r="G4" s="3" t="str">
        <f>_xlfn.XLOOKUP(F4,Municipio!A:A,Municipio!B:B)</f>
        <v>Bogotá</v>
      </c>
      <c r="H4" s="3" t="str">
        <f>_xlfn.XLOOKUP(F4,Municipio!A:A,Municipio!D:D)</f>
        <v>D01</v>
      </c>
      <c r="I4" s="3" t="str">
        <f>_xlfn.XLOOKUP(H4,Departamento!A:A,Departamento!B:B)</f>
        <v>Cundinamarca</v>
      </c>
      <c r="J4" s="3" t="str">
        <f>_xlfn.XLOOKUP(H4,Departamento!A:A,Departamento!D:D)</f>
        <v>P01</v>
      </c>
      <c r="K4" s="3" t="str">
        <f>_xlfn.XLOOKUP(J4,Pais!A:A,Pais!B:B)</f>
        <v>Colombia</v>
      </c>
      <c r="L4" s="3" t="str">
        <f>_xlfn.XLOOKUP(J4,Pais!A:A,Pais!D:D)</f>
        <v>C01</v>
      </c>
      <c r="M4" s="3" t="str">
        <f>_xlfn.XLOOKUP(L4,Continente!A:A,Continente!B:B)</f>
        <v>América</v>
      </c>
      <c r="N4" s="3" t="str">
        <f>_xlfn.XLOOKUP(A4,Pedido!A:A,Pedido!E:E)</f>
        <v>Madrid</v>
      </c>
      <c r="O4" s="3" t="str">
        <f t="shared" si="0"/>
        <v>El producto Tablet Pro fue enviado desde Madrid hacia el barrio Chapinero, en Bogotá (Colombia, América).</v>
      </c>
    </row>
    <row r="5" spans="1:15" ht="25" customHeight="1" x14ac:dyDescent="0.35">
      <c r="A5" s="3" t="s">
        <v>27</v>
      </c>
      <c r="B5" s="3" t="str">
        <f>_xlfn.XLOOKUP(A5,Pedido!A:A,Pedido!B:B)</f>
        <v>PR04</v>
      </c>
      <c r="C5" s="3" t="str">
        <f>_xlfn.XLOOKUP(B5,Producto!A:A,Producto!B:B)</f>
        <v>Smartwatch Q</v>
      </c>
      <c r="D5" s="3" t="str">
        <f>_xlfn.XLOOKUP(A5,Pedido!A:A,Pedido!C:C)</f>
        <v>B04</v>
      </c>
      <c r="E5" s="3" t="str">
        <f>_xlfn.XLOOKUP(D5,Barrio!A:A,Barrio!B:B)</f>
        <v>Shinjuku</v>
      </c>
      <c r="F5" s="3" t="str">
        <f>_xlfn.XLOOKUP(D5,Barrio!A:A,Barrio!D:D)</f>
        <v>M04</v>
      </c>
      <c r="G5" s="3" t="str">
        <f>_xlfn.XLOOKUP(F5,Municipio!A:A,Municipio!B:B)</f>
        <v>Tokio</v>
      </c>
      <c r="H5" s="3" t="str">
        <f>_xlfn.XLOOKUP(F5,Municipio!A:A,Municipio!D:D)</f>
        <v>D04</v>
      </c>
      <c r="I5" s="3" t="str">
        <f>_xlfn.XLOOKUP(H5,Departamento!A:A,Departamento!B:B)</f>
        <v>Tokio</v>
      </c>
      <c r="J5" s="3" t="str">
        <f>_xlfn.XLOOKUP(H5,Departamento!A:A,Departamento!D:D)</f>
        <v>P03</v>
      </c>
      <c r="K5" s="3" t="str">
        <f>_xlfn.XLOOKUP(J5,Pais!A:A,Pais!B:B)</f>
        <v>Japón</v>
      </c>
      <c r="L5" s="3" t="str">
        <f>_xlfn.XLOOKUP(J5,Pais!A:A,Pais!D:D)</f>
        <v>C03</v>
      </c>
      <c r="M5" s="3" t="str">
        <f>_xlfn.XLOOKUP(L5,Continente!A:A,Continente!B:B)</f>
        <v>Asia</v>
      </c>
      <c r="N5" s="3" t="str">
        <f>_xlfn.XLOOKUP(A5,Pedido!A:A,Pedido!E:E)</f>
        <v>Tokio</v>
      </c>
      <c r="O5" s="3" t="str">
        <f t="shared" si="0"/>
        <v>El producto Smartwatch Q fue enviado desde Tokio hacia el barrio Shinjuku, en Tokio (Japón, Asia).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Producto</vt:lpstr>
      <vt:lpstr>Pedido</vt:lpstr>
      <vt:lpstr>Continente</vt:lpstr>
      <vt:lpstr>Pais</vt:lpstr>
      <vt:lpstr>Departamento</vt:lpstr>
      <vt:lpstr>Municipio</vt:lpstr>
      <vt:lpstr>Barrio</vt:lpstr>
      <vt:lpstr>Consultar</vt:lpstr>
      <vt:lpstr>Profesional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2026-03-02T00:35:49Z</dcterms:created>
  <dcterms:modified xsi:type="dcterms:W3CDTF">2026-03-02T02:05:28Z</dcterms:modified>
</cp:coreProperties>
</file>